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9560e2abc51b51/1_업무(BESPIN)/01_LGE/1_작업/"/>
    </mc:Choice>
  </mc:AlternateContent>
  <xr:revisionPtr revIDLastSave="407" documentId="8_{3F51670F-909E-4B14-B8BE-5474E69900F8}" xr6:coauthVersionLast="47" xr6:coauthVersionMax="47" xr10:uidLastSave="{DA9B306C-B1C5-4C36-87CD-63C91F38CD6A}"/>
  <bookViews>
    <workbookView xWindow="-108" yWindow="-108" windowWidth="23256" windowHeight="12456" activeTab="2" xr2:uid="{4CD350D3-F393-4B24-AE8C-378D8DEA4038}"/>
  </bookViews>
  <sheets>
    <sheet name="1월" sheetId="1" r:id="rId1"/>
    <sheet name="2월" sheetId="2" r:id="rId2"/>
    <sheet name="Im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4" i="2"/>
  <c r="H6" i="2"/>
  <c r="F6" i="2"/>
  <c r="H5" i="2"/>
  <c r="F5" i="2"/>
  <c r="H4" i="2"/>
  <c r="F4" i="2"/>
  <c r="E12" i="1"/>
  <c r="E11" i="1"/>
  <c r="E10" i="1"/>
  <c r="C9" i="1"/>
  <c r="C5" i="1" s="1"/>
  <c r="G7" i="1"/>
  <c r="G6" i="1"/>
  <c r="F8" i="1"/>
  <c r="D8" i="1"/>
  <c r="E8" i="1" s="1"/>
  <c r="E6" i="1"/>
  <c r="C7" i="1"/>
  <c r="E7" i="1" s="1"/>
  <c r="H9" i="1"/>
  <c r="D9" i="1"/>
  <c r="E9" i="1" s="1"/>
  <c r="G8" i="1" l="1"/>
  <c r="F7" i="2"/>
  <c r="H7" i="2"/>
  <c r="G11" i="1"/>
  <c r="G10" i="1"/>
  <c r="G9" i="1"/>
  <c r="G12" i="1" l="1"/>
</calcChain>
</file>

<file path=xl/sharedStrings.xml><?xml version="1.0" encoding="utf-8"?>
<sst xmlns="http://schemas.openxmlformats.org/spreadsheetml/2006/main" count="44" uniqueCount="32">
  <si>
    <t>예산</t>
  </si>
  <si>
    <r>
      <t>분기 내</t>
    </r>
    <r>
      <rPr>
        <sz val="8"/>
        <color rgb="FF000000"/>
        <rFont val="Arial Narrow"/>
        <family val="2"/>
      </rPr>
      <t xml:space="preserve"> </t>
    </r>
    <r>
      <rPr>
        <sz val="8"/>
        <color rgb="FF000000"/>
        <rFont val="LG스마트체 Regular"/>
        <family val="3"/>
        <charset val="129"/>
      </rPr>
      <t>비중</t>
    </r>
  </si>
  <si>
    <t>Total</t>
  </si>
  <si>
    <t>계획</t>
    <phoneticPr fontId="9" type="noConversion"/>
  </si>
  <si>
    <r>
      <t>1</t>
    </r>
    <r>
      <rPr>
        <b/>
        <sz val="10"/>
        <color rgb="FF000000"/>
        <rFont val="맑은 고딕"/>
        <family val="2"/>
        <charset val="129"/>
      </rPr>
      <t>월</t>
    </r>
    <phoneticPr fontId="9" type="noConversion"/>
  </si>
  <si>
    <t>1분기</t>
    <phoneticPr fontId="9" type="noConversion"/>
  </si>
  <si>
    <t>category</t>
    <phoneticPr fontId="9" type="noConversion"/>
  </si>
  <si>
    <t>A</t>
    <phoneticPr fontId="9" type="noConversion"/>
  </si>
  <si>
    <t>B</t>
    <phoneticPr fontId="9" type="noConversion"/>
  </si>
  <si>
    <t>type_1</t>
    <phoneticPr fontId="9" type="noConversion"/>
  </si>
  <si>
    <t>type_2</t>
    <phoneticPr fontId="9" type="noConversion"/>
  </si>
  <si>
    <t>type_4</t>
    <phoneticPr fontId="9" type="noConversion"/>
  </si>
  <si>
    <t>목표</t>
    <phoneticPr fontId="9" type="noConversion"/>
  </si>
  <si>
    <t>Paid</t>
    <phoneticPr fontId="9" type="noConversion"/>
  </si>
  <si>
    <r>
      <rPr>
        <sz val="8"/>
        <color rgb="FF000000"/>
        <rFont val="LG스마트체 Regular"/>
        <family val="3"/>
        <charset val="129"/>
      </rPr>
      <t>1월</t>
    </r>
    <r>
      <rPr>
        <sz val="8"/>
        <color rgb="FF000000"/>
        <rFont val="Arial Narrow"/>
        <family val="2"/>
      </rPr>
      <t xml:space="preserve"> </t>
    </r>
    <r>
      <rPr>
        <sz val="8"/>
        <color rgb="FF000000"/>
        <rFont val="LG스마트체 Regular"/>
        <family val="3"/>
        <charset val="129"/>
      </rPr>
      <t>내</t>
    </r>
    <r>
      <rPr>
        <sz val="8"/>
        <color rgb="FF000000"/>
        <rFont val="Arial Narrow"/>
        <family val="2"/>
      </rPr>
      <t xml:space="preserve"> </t>
    </r>
    <r>
      <rPr>
        <sz val="8"/>
        <color rgb="FF000000"/>
        <rFont val="LG스마트체 Regular"/>
        <family val="3"/>
        <charset val="129"/>
      </rPr>
      <t>비중</t>
    </r>
    <phoneticPr fontId="9" type="noConversion"/>
  </si>
  <si>
    <r>
      <t>2</t>
    </r>
    <r>
      <rPr>
        <b/>
        <sz val="10"/>
        <color rgb="FF000000"/>
        <rFont val="맑은 고딕"/>
        <family val="2"/>
        <charset val="129"/>
      </rPr>
      <t>월</t>
    </r>
    <phoneticPr fontId="9" type="noConversion"/>
  </si>
  <si>
    <r>
      <rPr>
        <sz val="8"/>
        <color rgb="FF000000"/>
        <rFont val="LG스마트체 Regular"/>
        <family val="3"/>
        <charset val="129"/>
      </rPr>
      <t>2월</t>
    </r>
    <r>
      <rPr>
        <sz val="8"/>
        <color rgb="FF000000"/>
        <rFont val="Arial Narrow"/>
        <family val="2"/>
      </rPr>
      <t xml:space="preserve"> </t>
    </r>
    <r>
      <rPr>
        <sz val="8"/>
        <color rgb="FF000000"/>
        <rFont val="LG스마트체 Regular"/>
        <family val="3"/>
        <charset val="129"/>
      </rPr>
      <t>내</t>
    </r>
    <r>
      <rPr>
        <sz val="8"/>
        <color rgb="FF000000"/>
        <rFont val="Arial Narrow"/>
        <family val="2"/>
      </rPr>
      <t xml:space="preserve"> </t>
    </r>
    <r>
      <rPr>
        <sz val="8"/>
        <color rgb="FF000000"/>
        <rFont val="LG스마트체 Regular"/>
        <family val="3"/>
        <charset val="129"/>
      </rPr>
      <t>비중</t>
    </r>
    <phoneticPr fontId="9" type="noConversion"/>
  </si>
  <si>
    <t>D</t>
    <phoneticPr fontId="9" type="noConversion"/>
  </si>
  <si>
    <t>C</t>
    <phoneticPr fontId="9" type="noConversion"/>
  </si>
  <si>
    <t>2025년 예산 계획</t>
    <phoneticPr fontId="9" type="noConversion"/>
  </si>
  <si>
    <t>2026년 예산 계획</t>
    <phoneticPr fontId="9" type="noConversion"/>
  </si>
  <si>
    <t>Prime Day</t>
    <phoneticPr fontId="9" type="noConversion"/>
  </si>
  <si>
    <t>category</t>
  </si>
  <si>
    <t>type</t>
  </si>
  <si>
    <t>1월 목표</t>
    <phoneticPr fontId="9" type="noConversion"/>
  </si>
  <si>
    <t>group</t>
    <phoneticPr fontId="9" type="noConversion"/>
  </si>
  <si>
    <t>카테고리별</t>
    <phoneticPr fontId="9" type="noConversion"/>
  </si>
  <si>
    <t>1분기 예산</t>
    <phoneticPr fontId="9" type="noConversion"/>
  </si>
  <si>
    <t>그룹별</t>
    <phoneticPr fontId="9" type="noConversion"/>
  </si>
  <si>
    <t>E</t>
    <phoneticPr fontId="9" type="noConversion"/>
  </si>
  <si>
    <t>F</t>
    <phoneticPr fontId="9" type="noConversion"/>
  </si>
  <si>
    <t>※ 해당 자료는 아직 검토 중으로, 참고만 할 것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</si>
</sst>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14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 Narrow"/>
      <family val="2"/>
    </font>
    <font>
      <b/>
      <sz val="10"/>
      <color rgb="FF000000"/>
      <name val="LG스마트체 Regular"/>
      <family val="3"/>
      <charset val="129"/>
    </font>
    <font>
      <sz val="8"/>
      <color rgb="FF000000"/>
      <name val="LG스마트체 Regular"/>
      <family val="3"/>
      <charset val="129"/>
    </font>
    <font>
      <sz val="8"/>
      <color rgb="FF000000"/>
      <name val="Arial Narrow"/>
      <family val="2"/>
    </font>
    <font>
      <b/>
      <sz val="10"/>
      <color rgb="FF006600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LG스마트체 Regular"/>
      <family val="3"/>
      <charset val="129"/>
    </font>
    <font>
      <sz val="10"/>
      <color rgb="FF006600"/>
      <name val="Arial Narrow"/>
      <family val="2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</font>
    <font>
      <sz val="8"/>
      <color rgb="FF000000"/>
      <name val="Arial Narrow"/>
      <family val="3"/>
      <charset val="129"/>
    </font>
    <font>
      <b/>
      <sz val="10"/>
      <color rgb="FF000000"/>
      <name val="굴림"/>
      <family val="2"/>
      <charset val="129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lightGray">
        <f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2" borderId="16" xfId="0" applyFont="1" applyFill="1" applyBorder="1" applyAlignment="1">
      <alignment horizontal="center" vertical="center"/>
    </xf>
    <xf numFmtId="24" fontId="1" fillId="2" borderId="12" xfId="0" applyNumberFormat="1" applyFont="1" applyFill="1" applyBorder="1">
      <alignment vertical="center"/>
    </xf>
    <xf numFmtId="24" fontId="1" fillId="2" borderId="15" xfId="0" applyNumberFormat="1" applyFont="1" applyFill="1" applyBorder="1">
      <alignment vertical="center"/>
    </xf>
    <xf numFmtId="9" fontId="5" fillId="2" borderId="15" xfId="0" applyNumberFormat="1" applyFont="1" applyFill="1" applyBorder="1" applyAlignment="1">
      <alignment horizontal="center" vertical="center"/>
    </xf>
    <xf numFmtId="9" fontId="5" fillId="2" borderId="16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>
      <alignment vertical="center"/>
    </xf>
    <xf numFmtId="3" fontId="1" fillId="2" borderId="15" xfId="0" applyNumberFormat="1" applyFont="1" applyFill="1" applyBorder="1">
      <alignment vertical="center"/>
    </xf>
    <xf numFmtId="24" fontId="1" fillId="3" borderId="10" xfId="0" applyNumberFormat="1" applyFont="1" applyFill="1" applyBorder="1">
      <alignment vertical="center"/>
    </xf>
    <xf numFmtId="24" fontId="1" fillId="3" borderId="3" xfId="0" applyNumberFormat="1" applyFont="1" applyFill="1" applyBorder="1">
      <alignment vertical="center"/>
    </xf>
    <xf numFmtId="9" fontId="5" fillId="3" borderId="3" xfId="0" applyNumberFormat="1" applyFont="1" applyFill="1" applyBorder="1" applyAlignment="1">
      <alignment horizontal="center" vertical="center"/>
    </xf>
    <xf numFmtId="24" fontId="1" fillId="3" borderId="3" xfId="0" applyNumberFormat="1" applyFont="1" applyFill="1" applyBorder="1" applyAlignment="1">
      <alignment horizontal="right" vertical="center"/>
    </xf>
    <xf numFmtId="3" fontId="1" fillId="3" borderId="10" xfId="0" applyNumberFormat="1" applyFont="1" applyFill="1" applyBorder="1">
      <alignment vertical="center"/>
    </xf>
    <xf numFmtId="3" fontId="1" fillId="3" borderId="3" xfId="0" applyNumberFormat="1" applyFont="1" applyFill="1" applyBorder="1">
      <alignment vertical="center"/>
    </xf>
    <xf numFmtId="24" fontId="6" fillId="0" borderId="3" xfId="0" applyNumberFormat="1" applyFont="1" applyBorder="1">
      <alignment vertical="center"/>
    </xf>
    <xf numFmtId="9" fontId="8" fillId="0" borderId="3" xfId="0" applyNumberFormat="1" applyFont="1" applyBorder="1" applyAlignment="1">
      <alignment horizontal="center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right" vertical="center"/>
    </xf>
    <xf numFmtId="24" fontId="1" fillId="3" borderId="7" xfId="0" applyNumberFormat="1" applyFont="1" applyFill="1" applyBorder="1" applyAlignment="1">
      <alignment horizontal="right" vertical="center"/>
    </xf>
    <xf numFmtId="24" fontId="1" fillId="3" borderId="11" xfId="0" applyNumberFormat="1" applyFont="1" applyFill="1" applyBorder="1" applyAlignment="1">
      <alignment horizontal="right" vertical="center"/>
    </xf>
    <xf numFmtId="9" fontId="5" fillId="3" borderId="11" xfId="0" applyNumberFormat="1" applyFont="1" applyFill="1" applyBorder="1" applyAlignment="1">
      <alignment horizontal="center" vertical="center"/>
    </xf>
    <xf numFmtId="3" fontId="1" fillId="3" borderId="7" xfId="0" applyNumberFormat="1" applyFont="1" applyFill="1" applyBorder="1">
      <alignment vertical="center"/>
    </xf>
    <xf numFmtId="3" fontId="1" fillId="3" borderId="11" xfId="0" applyNumberFormat="1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24" fontId="6" fillId="0" borderId="4" xfId="0" applyNumberFormat="1" applyFont="1" applyBorder="1">
      <alignment vertical="center"/>
    </xf>
    <xf numFmtId="24" fontId="1" fillId="0" borderId="3" xfId="0" applyNumberFormat="1" applyFont="1" applyBorder="1">
      <alignment vertical="center"/>
    </xf>
    <xf numFmtId="24" fontId="1" fillId="0" borderId="4" xfId="0" applyNumberFormat="1" applyFont="1" applyBorder="1">
      <alignment vertical="center"/>
    </xf>
    <xf numFmtId="9" fontId="8" fillId="0" borderId="4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24" fontId="1" fillId="0" borderId="10" xfId="0" applyNumberFormat="1" applyFont="1" applyBorder="1">
      <alignment vertical="center"/>
    </xf>
    <xf numFmtId="24" fontId="1" fillId="0" borderId="3" xfId="0" applyNumberFormat="1" applyFont="1" applyBorder="1" applyAlignment="1">
      <alignment horizontal="right" vertical="center"/>
    </xf>
    <xf numFmtId="3" fontId="1" fillId="0" borderId="10" xfId="0" applyNumberFormat="1" applyFont="1" applyBorder="1">
      <alignment vertical="center"/>
    </xf>
    <xf numFmtId="3" fontId="1" fillId="0" borderId="3" xfId="0" applyNumberFormat="1" applyFont="1" applyBorder="1">
      <alignment vertical="center"/>
    </xf>
    <xf numFmtId="3" fontId="1" fillId="0" borderId="24" xfId="0" applyNumberFormat="1" applyFont="1" applyBorder="1">
      <alignment vertical="center"/>
    </xf>
    <xf numFmtId="3" fontId="1" fillId="0" borderId="4" xfId="0" applyNumberFormat="1" applyFont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24" fontId="1" fillId="3" borderId="27" xfId="0" applyNumberFormat="1" applyFont="1" applyFill="1" applyBorder="1" applyAlignment="1">
      <alignment horizontal="right" vertical="center"/>
    </xf>
    <xf numFmtId="24" fontId="1" fillId="3" borderId="22" xfId="0" applyNumberFormat="1" applyFont="1" applyFill="1" applyBorder="1" applyAlignment="1">
      <alignment horizontal="right" vertical="center"/>
    </xf>
    <xf numFmtId="9" fontId="5" fillId="3" borderId="27" xfId="0" applyNumberFormat="1" applyFont="1" applyFill="1" applyBorder="1" applyAlignment="1">
      <alignment horizontal="center" vertical="center"/>
    </xf>
    <xf numFmtId="3" fontId="1" fillId="3" borderId="22" xfId="0" applyNumberFormat="1" applyFont="1" applyFill="1" applyBorder="1">
      <alignment vertical="center"/>
    </xf>
    <xf numFmtId="3" fontId="1" fillId="3" borderId="27" xfId="0" applyNumberFormat="1" applyFont="1" applyFill="1" applyBorder="1">
      <alignment vertical="center"/>
    </xf>
    <xf numFmtId="0" fontId="0" fillId="0" borderId="25" xfId="0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24" fontId="6" fillId="0" borderId="24" xfId="0" applyNumberFormat="1" applyFont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31" xfId="0" applyBorder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24" fontId="7" fillId="3" borderId="2" xfId="0" applyNumberFormat="1" applyFont="1" applyFill="1" applyBorder="1" applyAlignment="1">
      <alignment horizontal="center" vertical="center"/>
    </xf>
    <xf numFmtId="24" fontId="7" fillId="3" borderId="1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347664</xdr:colOff>
      <xdr:row>1</xdr:row>
      <xdr:rowOff>119064</xdr:rowOff>
    </xdr:from>
    <xdr:to>
      <xdr:col>14</xdr:col>
      <xdr:colOff>24767</xdr:colOff>
      <xdr:row>19</xdr:row>
      <xdr:rowOff>126146</xdr:rowOff>
    </xdr:to>
    <xdr:pic>
      <xdr:nvPicPr>
        <xdr:cNvPr id="2" name="그림 1" descr="막대그래프란 무엇인가? 정의와 특징 알아보기">
          <a:extLst>
            <a:ext uri="{FF2B5EF4-FFF2-40B4-BE49-F238E27FC236}">
              <a16:creationId xmlns:a16="http://schemas.microsoft.com/office/drawing/2014/main" id="{93F4E8CB-B4E1-03AD-6BF9-DB6049CF2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4" y="338139"/>
          <a:ext cx="9083992" cy="3953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354605</xdr:colOff>
      <xdr:row>20</xdr:row>
      <xdr:rowOff>129541</xdr:rowOff>
    </xdr:from>
    <xdr:to>
      <xdr:col>14</xdr:col>
      <xdr:colOff>42863</xdr:colOff>
      <xdr:row>43</xdr:row>
      <xdr:rowOff>156322</xdr:rowOff>
    </xdr:to>
    <xdr:pic>
      <xdr:nvPicPr>
        <xdr:cNvPr id="5" name="그림 4" descr="4. 그래프 차트 PPT 템플릿 : Designtool / 디자인 오픈소스">
          <a:extLst>
            <a:ext uri="{FF2B5EF4-FFF2-40B4-BE49-F238E27FC236}">
              <a16:creationId xmlns:a16="http://schemas.microsoft.com/office/drawing/2014/main" id="{A1F93866-24CD-5E2B-6427-FD1F1765A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605" y="4511041"/>
          <a:ext cx="9089433" cy="5065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F9BC-5D21-4239-B79F-28A8A7129580}">
  <dimension ref="A1:J13"/>
  <sheetViews>
    <sheetView showGridLines="0" workbookViewId="0">
      <selection activeCell="A14" sqref="A14"/>
    </sheetView>
  </sheetViews>
  <sheetFormatPr defaultRowHeight="16.5"/>
  <cols>
    <col min="5" max="5" width="12.625" bestFit="1" customWidth="1"/>
  </cols>
  <sheetData>
    <row r="1" spans="1:10">
      <c r="A1" s="62" t="s">
        <v>19</v>
      </c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53"/>
      <c r="B2" s="54"/>
      <c r="C2" s="67" t="s">
        <v>0</v>
      </c>
      <c r="D2" s="68"/>
      <c r="E2" s="68"/>
      <c r="F2" s="68"/>
      <c r="G2" s="69"/>
      <c r="H2" s="70" t="s">
        <v>3</v>
      </c>
      <c r="I2" s="68"/>
      <c r="J2" s="71"/>
    </row>
    <row r="3" spans="1:10">
      <c r="A3" s="81" t="s">
        <v>22</v>
      </c>
      <c r="B3" s="55" t="s">
        <v>23</v>
      </c>
      <c r="C3" s="32" t="s">
        <v>5</v>
      </c>
      <c r="D3" s="24"/>
      <c r="E3" s="23"/>
      <c r="F3" s="24" t="s">
        <v>21</v>
      </c>
      <c r="G3" s="25"/>
      <c r="H3" s="52" t="s">
        <v>12</v>
      </c>
      <c r="I3" s="87" t="s">
        <v>24</v>
      </c>
      <c r="J3" s="26" t="s">
        <v>13</v>
      </c>
    </row>
    <row r="4" spans="1:10" ht="17.25" thickBot="1">
      <c r="A4" s="82"/>
      <c r="B4" s="83"/>
      <c r="C4" s="27"/>
      <c r="D4" s="28" t="s">
        <v>4</v>
      </c>
      <c r="E4" s="29" t="s">
        <v>1</v>
      </c>
      <c r="F4" s="30"/>
      <c r="G4" s="34" t="s">
        <v>14</v>
      </c>
      <c r="H4" s="86"/>
      <c r="I4" s="88"/>
      <c r="J4" s="31" t="s">
        <v>12</v>
      </c>
    </row>
    <row r="5" spans="1:10" ht="17.25" thickBot="1">
      <c r="A5" s="33" t="s">
        <v>2</v>
      </c>
      <c r="B5" s="1" t="s">
        <v>2</v>
      </c>
      <c r="C5" s="2">
        <f>C6+C9</f>
        <v>224126</v>
      </c>
      <c r="D5" s="3">
        <v>466338</v>
      </c>
      <c r="E5" s="4">
        <v>0.53</v>
      </c>
      <c r="F5" s="3">
        <v>281668</v>
      </c>
      <c r="G5" s="5">
        <v>0.6</v>
      </c>
      <c r="H5" s="6">
        <v>32574</v>
      </c>
      <c r="I5" s="6">
        <v>5646</v>
      </c>
      <c r="J5" s="7">
        <v>13000</v>
      </c>
    </row>
    <row r="6" spans="1:10">
      <c r="A6" s="63" t="s">
        <v>7</v>
      </c>
      <c r="B6" s="74" t="s">
        <v>2</v>
      </c>
      <c r="C6" s="8">
        <v>123535</v>
      </c>
      <c r="D6" s="9">
        <v>45077</v>
      </c>
      <c r="E6" s="10">
        <f>D6/C6</f>
        <v>0.36489254057554538</v>
      </c>
      <c r="F6" s="11">
        <v>26099</v>
      </c>
      <c r="G6" s="72">
        <f>F6/D6</f>
        <v>0.57898706657497168</v>
      </c>
      <c r="H6" s="12">
        <v>1235</v>
      </c>
      <c r="I6" s="12">
        <v>3158</v>
      </c>
      <c r="J6" s="13">
        <v>1492</v>
      </c>
    </row>
    <row r="7" spans="1:10">
      <c r="A7" s="64"/>
      <c r="B7" s="75" t="s">
        <v>9</v>
      </c>
      <c r="C7" s="44">
        <f>C6-C8</f>
        <v>70970</v>
      </c>
      <c r="D7" s="38">
        <v>22354</v>
      </c>
      <c r="E7" s="42">
        <f>D7/C7</f>
        <v>0.314978159785825</v>
      </c>
      <c r="F7" s="45">
        <v>13545</v>
      </c>
      <c r="G7" s="42">
        <f>F7/D7</f>
        <v>0.60593182428200765</v>
      </c>
      <c r="H7" s="46">
        <v>1235</v>
      </c>
      <c r="I7" s="46">
        <v>821</v>
      </c>
      <c r="J7" s="47">
        <v>51</v>
      </c>
    </row>
    <row r="8" spans="1:10">
      <c r="A8" s="65"/>
      <c r="B8" s="76" t="s">
        <v>10</v>
      </c>
      <c r="C8" s="73">
        <v>52565</v>
      </c>
      <c r="D8" s="37">
        <f>D6-D7</f>
        <v>22723</v>
      </c>
      <c r="E8" s="15">
        <f>D8/C8</f>
        <v>0.43228383905640633</v>
      </c>
      <c r="F8" s="14">
        <f>F6-F7</f>
        <v>12554</v>
      </c>
      <c r="G8" s="40">
        <f>F8/D8</f>
        <v>0.55247986621484835</v>
      </c>
      <c r="H8" s="16"/>
      <c r="I8" s="16"/>
      <c r="J8" s="17"/>
    </row>
    <row r="9" spans="1:10">
      <c r="A9" s="66" t="s">
        <v>8</v>
      </c>
      <c r="B9" s="41" t="s">
        <v>2</v>
      </c>
      <c r="C9" s="19">
        <f>SUM(C10:C12)</f>
        <v>100591</v>
      </c>
      <c r="D9" s="18">
        <f>SUM(D10:D12)</f>
        <v>52113</v>
      </c>
      <c r="E9" s="20">
        <f>D9/C9</f>
        <v>0.51806821683848459</v>
      </c>
      <c r="F9" s="19">
        <v>29977</v>
      </c>
      <c r="G9" s="20">
        <f>F9/D9</f>
        <v>0.57523074856561707</v>
      </c>
      <c r="H9" s="21">
        <f>H5-H6</f>
        <v>31339</v>
      </c>
      <c r="I9" s="21">
        <v>2135</v>
      </c>
      <c r="J9" s="22">
        <v>3576</v>
      </c>
    </row>
    <row r="10" spans="1:10">
      <c r="A10" s="64"/>
      <c r="B10" s="35" t="s">
        <v>9</v>
      </c>
      <c r="C10" s="14">
        <v>32155</v>
      </c>
      <c r="D10" s="38">
        <v>22354</v>
      </c>
      <c r="E10" s="15">
        <f>D10/C10</f>
        <v>0.69519514849945574</v>
      </c>
      <c r="F10" s="14">
        <v>6895</v>
      </c>
      <c r="G10" s="42">
        <f t="shared" ref="G10:G12" si="0">F10/D10</f>
        <v>0.30844591571978169</v>
      </c>
      <c r="H10" s="46">
        <v>1235</v>
      </c>
      <c r="I10" s="46">
        <v>535</v>
      </c>
      <c r="J10" s="47">
        <v>4567</v>
      </c>
    </row>
    <row r="11" spans="1:10">
      <c r="A11" s="64"/>
      <c r="B11" s="35" t="s">
        <v>10</v>
      </c>
      <c r="C11" s="14">
        <v>32154</v>
      </c>
      <c r="D11" s="38">
        <v>16544</v>
      </c>
      <c r="E11" s="15">
        <f t="shared" ref="E11:E12" si="1">D11/C11</f>
        <v>0.51452385395285194</v>
      </c>
      <c r="F11" s="14">
        <v>12345</v>
      </c>
      <c r="G11" s="42">
        <f t="shared" si="0"/>
        <v>0.74619197292069628</v>
      </c>
      <c r="H11" s="46">
        <v>354</v>
      </c>
      <c r="I11" s="46">
        <v>215</v>
      </c>
      <c r="J11" s="47">
        <v>45876</v>
      </c>
    </row>
    <row r="12" spans="1:10">
      <c r="A12" s="65"/>
      <c r="B12" s="36" t="s">
        <v>11</v>
      </c>
      <c r="C12" s="37">
        <v>36282</v>
      </c>
      <c r="D12" s="39">
        <v>13215</v>
      </c>
      <c r="E12" s="40">
        <f t="shared" si="1"/>
        <v>0.36423019679179758</v>
      </c>
      <c r="F12" s="37">
        <v>2145</v>
      </c>
      <c r="G12" s="43">
        <f t="shared" si="0"/>
        <v>0.1623155505107832</v>
      </c>
      <c r="H12" s="48">
        <v>4537</v>
      </c>
      <c r="I12" s="48">
        <v>8203</v>
      </c>
      <c r="J12" s="49">
        <v>8782</v>
      </c>
    </row>
    <row r="13" spans="1:10">
      <c r="A13" t="s">
        <v>31</v>
      </c>
    </row>
  </sheetData>
  <mergeCells count="5">
    <mergeCell ref="A1:J1"/>
    <mergeCell ref="A6:A8"/>
    <mergeCell ref="A9:A12"/>
    <mergeCell ref="C2:G2"/>
    <mergeCell ref="H2:J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76C6-9281-46AC-A3B2-456EAF9C367B}">
  <dimension ref="A1:J8"/>
  <sheetViews>
    <sheetView showGridLines="0" zoomScale="115" zoomScaleNormal="115" workbookViewId="0">
      <selection activeCell="D4" sqref="D4"/>
    </sheetView>
  </sheetViews>
  <sheetFormatPr defaultRowHeight="16.5"/>
  <cols>
    <col min="3" max="3" width="11.125" customWidth="1"/>
    <col min="4" max="4" width="12.375" customWidth="1"/>
  </cols>
  <sheetData>
    <row r="1" spans="1:10" ht="17.25" thickBot="1">
      <c r="A1" s="62" t="s">
        <v>20</v>
      </c>
      <c r="B1" s="62"/>
      <c r="C1" s="62"/>
      <c r="D1" s="62"/>
      <c r="E1" s="62"/>
      <c r="F1" s="62"/>
      <c r="G1" s="62"/>
      <c r="H1" s="62"/>
      <c r="I1" s="77"/>
      <c r="J1" s="77"/>
    </row>
    <row r="2" spans="1:10">
      <c r="A2" s="53" t="s">
        <v>25</v>
      </c>
      <c r="B2" s="80" t="s">
        <v>6</v>
      </c>
      <c r="C2" s="92" t="s">
        <v>28</v>
      </c>
      <c r="D2" s="90" t="s">
        <v>26</v>
      </c>
      <c r="E2" s="24"/>
      <c r="F2" s="23"/>
      <c r="G2" s="24"/>
      <c r="H2" s="25"/>
      <c r="I2" s="84" t="s">
        <v>12</v>
      </c>
      <c r="J2" s="78" t="s">
        <v>13</v>
      </c>
    </row>
    <row r="3" spans="1:10" ht="17.25" thickBot="1">
      <c r="A3" s="82"/>
      <c r="B3" s="82"/>
      <c r="C3" s="93" t="s">
        <v>27</v>
      </c>
      <c r="D3" s="91" t="s">
        <v>27</v>
      </c>
      <c r="E3" s="28" t="s">
        <v>15</v>
      </c>
      <c r="F3" s="29" t="s">
        <v>1</v>
      </c>
      <c r="G3" s="30" t="s">
        <v>21</v>
      </c>
      <c r="H3" s="34" t="s">
        <v>16</v>
      </c>
      <c r="I3" s="85"/>
      <c r="J3" s="79" t="s">
        <v>12</v>
      </c>
    </row>
    <row r="4" spans="1:10">
      <c r="A4" s="63">
        <v>1</v>
      </c>
      <c r="B4" s="50" t="s">
        <v>18</v>
      </c>
      <c r="C4" s="94">
        <f>SUM(D4:D5) + 10</f>
        <v>33714</v>
      </c>
      <c r="D4" s="8">
        <v>12353</v>
      </c>
      <c r="E4" s="9">
        <v>4077</v>
      </c>
      <c r="F4" s="10">
        <f>E4/D4</f>
        <v>0.33004128551768802</v>
      </c>
      <c r="G4" s="11">
        <v>2609</v>
      </c>
      <c r="H4" s="72">
        <f>G4/E4</f>
        <v>0.63993132205052738</v>
      </c>
      <c r="I4" s="13">
        <v>1235</v>
      </c>
      <c r="J4" s="13">
        <v>1492</v>
      </c>
    </row>
    <row r="5" spans="1:10" ht="17.25" thickBot="1">
      <c r="A5" s="65"/>
      <c r="B5" s="51" t="s">
        <v>17</v>
      </c>
      <c r="C5" s="65"/>
      <c r="D5" s="57">
        <v>21351</v>
      </c>
      <c r="E5" s="58">
        <v>6545</v>
      </c>
      <c r="F5" s="59">
        <f>E5/D5</f>
        <v>0.30654301906233899</v>
      </c>
      <c r="G5" s="57">
        <v>2997</v>
      </c>
      <c r="H5" s="59">
        <f>G5/E5</f>
        <v>0.45790679908326964</v>
      </c>
      <c r="I5" s="60">
        <v>53213</v>
      </c>
      <c r="J5" s="61">
        <v>32415</v>
      </c>
    </row>
    <row r="6" spans="1:10">
      <c r="A6" s="66">
        <v>2</v>
      </c>
      <c r="B6" s="56" t="s">
        <v>29</v>
      </c>
      <c r="C6" s="95">
        <f>SUM(D6:D7) + 10</f>
        <v>14294</v>
      </c>
      <c r="D6" s="8">
        <v>5861</v>
      </c>
      <c r="E6" s="9">
        <v>4077</v>
      </c>
      <c r="F6" s="10">
        <f>E6/D6</f>
        <v>0.69561508275038386</v>
      </c>
      <c r="G6" s="11">
        <v>2609</v>
      </c>
      <c r="H6" s="72">
        <f>G6/E6</f>
        <v>0.63993132205052738</v>
      </c>
      <c r="I6" s="13">
        <v>1235</v>
      </c>
      <c r="J6" s="13">
        <v>1492</v>
      </c>
    </row>
    <row r="7" spans="1:10">
      <c r="A7" s="65"/>
      <c r="B7" s="56" t="s">
        <v>30</v>
      </c>
      <c r="C7" s="64"/>
      <c r="D7" s="57">
        <v>8423</v>
      </c>
      <c r="E7" s="58">
        <v>6545</v>
      </c>
      <c r="F7" s="59">
        <f>E7/D7</f>
        <v>0.77703905971744036</v>
      </c>
      <c r="G7" s="57">
        <v>2997</v>
      </c>
      <c r="H7" s="59">
        <f>G7/E7</f>
        <v>0.45790679908326964</v>
      </c>
      <c r="I7" s="60">
        <v>53213</v>
      </c>
      <c r="J7" s="61">
        <v>32415</v>
      </c>
    </row>
    <row r="8" spans="1:10">
      <c r="B8" s="89"/>
      <c r="C8" s="89"/>
    </row>
  </sheetData>
  <mergeCells count="5">
    <mergeCell ref="A1:J1"/>
    <mergeCell ref="C4:C5"/>
    <mergeCell ref="C6:C7"/>
    <mergeCell ref="A4:A5"/>
    <mergeCell ref="A6:A7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7252-30CA-43A3-AF2D-134F2BB12F4E}">
  <dimension ref="A1"/>
  <sheetViews>
    <sheetView tabSelected="1" topLeftCell="A25" workbookViewId="0">
      <selection activeCell="Q7" sqref="Q7"/>
    </sheetView>
  </sheetViews>
  <sheetFormatPr defaultRowHeight="16.5"/>
  <sheetData/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1월</vt:lpstr>
      <vt:lpstr>2월</vt:lpstr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유온 최</dc:creator>
  <cp:lastModifiedBy>유온 최</cp:lastModifiedBy>
  <dcterms:created xsi:type="dcterms:W3CDTF">2026-01-07T02:05:59Z</dcterms:created>
  <dcterms:modified xsi:type="dcterms:W3CDTF">2026-01-09T06:06:12Z</dcterms:modified>
</cp:coreProperties>
</file>